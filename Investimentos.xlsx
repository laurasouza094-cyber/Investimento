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bradesco-my.sharepoint.com/personal/laura_paraiso_bradescobbf_com_br/Documents/Área de Trabalho/"/>
    </mc:Choice>
  </mc:AlternateContent>
  <xr:revisionPtr revIDLastSave="358" documentId="8_{DF21A69E-575F-4EEB-8610-96E77BE764DE}" xr6:coauthVersionLast="47" xr6:coauthVersionMax="47" xr10:uidLastSave="{0ECE8382-B707-4D34-B3BC-F515E83B9261}"/>
  <bookViews>
    <workbookView xWindow="-110" yWindow="-110" windowWidth="19420" windowHeight="11500" tabRatio="724" xr2:uid="{AADD5C1D-1424-4EAE-B1F3-8E6D27283F6A}"/>
  </bookViews>
  <sheets>
    <sheet name="Controle de Investimentos" sheetId="1" r:id="rId1"/>
    <sheet name="Tabela de Apoio" sheetId="2" r:id="rId2"/>
  </sheets>
  <definedNames>
    <definedName name="Aporte">'Controle de Investimentos'!$D$17</definedName>
    <definedName name="Patrimonio">'Controle de Investimentos'!$D$20</definedName>
    <definedName name="Qtd_Anos">'Controle de Investimentos'!$D$18</definedName>
    <definedName name="Rendimento_Carteira">'Controle de Investimentos'!$D$13</definedName>
    <definedName name="Salario">'Controle de Investimentos'!$D$12</definedName>
    <definedName name="Sugestao_Investimento">'Controle de Investimentos'!$D$14</definedName>
    <definedName name="Taxa_Mensal">'Controle de Investimentos'!$D$19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H3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32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37" i="1" l="1"/>
  <c r="D36" i="1"/>
  <c r="D35" i="1"/>
  <c r="D40" i="1"/>
  <c r="D39" i="1"/>
  <c r="D38" i="1"/>
  <c r="D41" i="1" l="1"/>
</calcChain>
</file>

<file path=xl/sharedStrings.xml><?xml version="1.0" encoding="utf-8"?>
<sst xmlns="http://schemas.openxmlformats.org/spreadsheetml/2006/main" count="71" uniqueCount="34">
  <si>
    <t>Quanto investir por mês?</t>
  </si>
  <si>
    <t>Taxa de rendimento mensal?</t>
  </si>
  <si>
    <t>Patrimônio acumulado?</t>
  </si>
  <si>
    <t>Dividendos mensais?</t>
  </si>
  <si>
    <t>IVESTIMENTO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</si>
  <si>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</si>
  <si>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</si>
  <si>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</si>
  <si>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</si>
  <si>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</si>
  <si>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</si>
  <si>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</si>
  <si>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</si>
  <si>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</si>
  <si>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Sugestão de Rendimento</t>
  </si>
  <si>
    <t>Por quantos anos?</t>
  </si>
  <si>
    <t>CONFIGURAÇÕES</t>
  </si>
  <si>
    <t>PERFIL</t>
  </si>
  <si>
    <t>VALOR A SER INVESTIDO POR MÊS</t>
  </si>
  <si>
    <t>TIPO DE FI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</si>
  <si>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</si>
  <si>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</si>
  <si>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</si>
  <si>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</si>
  <si>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</si>
  <si>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</si>
  <si>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</si>
  <si>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HOTELÁRIAS</t>
  </si>
  <si>
    <t>Conservador</t>
  </si>
  <si>
    <t>%</t>
  </si>
  <si>
    <t>CHAVE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</si>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</sst>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0"/>
      <color theme="1"/>
      <name val="Bradesco Sans"/>
      <family val="2"/>
    </font>
    <font>
      <sz val="10"/>
      <color theme="0"/>
      <name val="Bradesco Sans"/>
      <family val="2"/>
    </font>
    <font>
      <b/>
      <sz val="20"/>
      <color theme="0"/>
      <name val="Aptos Narrow"/>
      <family val="2"/>
      <scheme val="minor"/>
    </font>
    <font>
      <b/>
      <sz val="10"/>
      <color theme="1"/>
      <name val="Bradesco Sans"/>
    </font>
    <font>
      <sz val="11"/>
      <color theme="1"/>
      <name val="Bradesco Sans"/>
    </font>
    <font>
      <b/>
      <sz val="12"/>
      <color theme="0"/>
      <name val="Aptos Narrow"/>
      <family val="2"/>
      <scheme val="minor"/>
    </font>
    <font>
      <sz val="10"/>
      <color theme="1"/>
      <name val="Bradesco Sans"/>
      <family val="2"/>
    </font>
    <font>
      <sz val="10"/>
      <color rgb="FF9C5700"/>
      <name val="Bradesco San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0"/>
      <name val="Bradesco Sans"/>
    </font>
    <font>
      <b/>
      <sz val="10"/>
      <color theme="0"/>
      <name val="Bradesco Sans"/>
    </font>
    <font>
      <sz val="10"/>
      <color theme="1" tint="4.9989318521683403E-2"/>
      <name val="Bradesco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/>
      <bottom style="hair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theme="0" tint="-0.14996795556505021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3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left" vertical="center" indent="3"/>
    </xf>
    <xf numFmtId="0" fontId="8" fillId="2" borderId="6" xfId="0" applyFont="1" applyFill="1" applyBorder="1" applyAlignment="1">
      <alignment horizontal="left" vertical="center" indent="3"/>
    </xf>
    <xf numFmtId="0" fontId="8" fillId="2" borderId="9" xfId="0" applyFont="1" applyFill="1" applyBorder="1" applyAlignment="1">
      <alignment horizontal="left" vertical="center" indent="3"/>
    </xf>
    <xf numFmtId="164" fontId="0" fillId="0" borderId="15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0" fontId="3" fillId="0" borderId="18" xfId="0" applyNumberFormat="1" applyFont="1" applyBorder="1" applyAlignment="1">
      <alignment horizontal="center" vertical="center"/>
    </xf>
    <xf numFmtId="8" fontId="3" fillId="2" borderId="18" xfId="0" applyNumberFormat="1" applyFont="1" applyFill="1" applyBorder="1" applyAlignment="1">
      <alignment horizontal="center" vertical="center"/>
    </xf>
    <xf numFmtId="8" fontId="3" fillId="2" borderId="21" xfId="0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 applyAlignment="1">
      <alignment horizontal="center" vertical="center"/>
    </xf>
    <xf numFmtId="9" fontId="0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164" fontId="3" fillId="5" borderId="0" xfId="0" applyNumberFormat="1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0" borderId="23" xfId="0" applyBorder="1"/>
    <xf numFmtId="0" fontId="0" fillId="0" borderId="23" xfId="0" applyBorder="1" applyAlignment="1">
      <alignment horizontal="center"/>
    </xf>
    <xf numFmtId="9" fontId="0" fillId="0" borderId="23" xfId="1" applyFont="1" applyBorder="1" applyAlignment="1">
      <alignment horizontal="center"/>
    </xf>
    <xf numFmtId="0" fontId="2" fillId="7" borderId="3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10" fillId="6" borderId="0" xfId="2" applyFont="1" applyFill="1" applyAlignment="1">
      <alignment horizontal="center"/>
    </xf>
    <xf numFmtId="0" fontId="11" fillId="6" borderId="0" xfId="2" applyFont="1" applyFill="1" applyAlignment="1">
      <alignment horizontal="left"/>
    </xf>
    <xf numFmtId="0" fontId="11" fillId="6" borderId="0" xfId="2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12" fillId="5" borderId="0" xfId="2" applyFont="1" applyFill="1"/>
    <xf numFmtId="9" fontId="12" fillId="5" borderId="0" xfId="1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left" vertical="center" indent="3"/>
    </xf>
    <xf numFmtId="0" fontId="8" fillId="4" borderId="14" xfId="0" applyFont="1" applyFill="1" applyBorder="1" applyAlignment="1">
      <alignment horizontal="left" vertical="center" indent="3"/>
    </xf>
    <xf numFmtId="0" fontId="8" fillId="4" borderId="16" xfId="0" applyFont="1" applyFill="1" applyBorder="1" applyAlignment="1">
      <alignment horizontal="left" vertical="center" indent="3"/>
    </xf>
    <xf numFmtId="0" fontId="8" fillId="4" borderId="17" xfId="0" applyFont="1" applyFill="1" applyBorder="1" applyAlignment="1">
      <alignment horizontal="left" vertical="center" indent="3"/>
    </xf>
    <xf numFmtId="0" fontId="8" fillId="4" borderId="19" xfId="0" applyFont="1" applyFill="1" applyBorder="1" applyAlignment="1">
      <alignment horizontal="left" vertical="center" indent="3"/>
    </xf>
    <xf numFmtId="0" fontId="8" fillId="4" borderId="20" xfId="0" applyFont="1" applyFill="1" applyBorder="1" applyAlignment="1">
      <alignment horizontal="left" vertical="center" indent="3"/>
    </xf>
    <xf numFmtId="0" fontId="8" fillId="0" borderId="16" xfId="0" applyFont="1" applyBorder="1" applyAlignment="1">
      <alignment horizontal="left" vertical="center" indent="3"/>
    </xf>
    <xf numFmtId="0" fontId="8" fillId="0" borderId="17" xfId="0" applyFont="1" applyBorder="1" applyAlignment="1">
      <alignment horizontal="left" vertical="center" indent="3"/>
    </xf>
    <xf numFmtId="0" fontId="9" fillId="2" borderId="16" xfId="0" applyFont="1" applyFill="1" applyBorder="1" applyAlignment="1">
      <alignment horizontal="left" vertical="center" indent="3"/>
    </xf>
    <xf numFmtId="0" fontId="9" fillId="2" borderId="17" xfId="0" applyFont="1" applyFill="1" applyBorder="1" applyAlignment="1">
      <alignment horizontal="left" vertical="center" indent="3"/>
    </xf>
    <xf numFmtId="0" fontId="9" fillId="2" borderId="19" xfId="0" applyFont="1" applyFill="1" applyBorder="1" applyAlignment="1">
      <alignment horizontal="left" vertical="center" indent="3"/>
    </xf>
    <xf numFmtId="0" fontId="9" fillId="2" borderId="20" xfId="0" applyFont="1" applyFill="1" applyBorder="1" applyAlignment="1">
      <alignment horizontal="left" vertical="center" indent="3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3"/>
    </xf>
    <xf numFmtId="0" fontId="8" fillId="0" borderId="14" xfId="0" applyFont="1" applyBorder="1" applyAlignment="1">
      <alignment horizontal="left" vertical="center" indent="3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'Controle de Investimentos'!$C$34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55-469B-86BB-70BC3AA08C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55-469B-86BB-70BC3AA08C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55-469B-86BB-70BC3AA08C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55-469B-86BB-70BC3AA08C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55-469B-86BB-70BC3AA08C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55-469B-86BB-70BC3AA08C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55-469B-86BB-70BC3AA08C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'Controle de Investimentos'!$B$35:$B$41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HOTELÁRIAS</c:v>
                </c:pt>
              </c:strCache>
            </c:strRef>
          </c:cat>
          <c:val>
            <c:numRef>
              <c:f>'Controle de Investimentos'!$C$35:$C$41</c:f>
              <c:numCache>
                <c:formatCode>0%</c:formatCode>
                <c:ptCount val="7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5-41B8-8D45-BDAB4A46BA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19051</xdr:colOff>
      <xdr:row>0</xdr:row>
      <xdr:rowOff>57151</xdr:rowOff>
    </xdr:from>
    <xdr:to>
      <xdr:col>4</xdr:col>
      <xdr:colOff>119356</xdr:colOff>
      <xdr:row>7</xdr:row>
      <xdr:rowOff>134056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D48BA7-CC75-7973-E2DF-1C70C699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73" y="57151"/>
          <a:ext cx="6880694" cy="1212849"/>
        </a:xfrm>
        <a:prstGeom prst="rect">
          <a:avLst/>
        </a:prstGeom>
      </xdr:spPr>
    </xdr:pic>
    <xdr:clientData/>
  </xdr:twoCellAnchor>
  <xdr:twoCellAnchor>
    <xdr:from>
      <xdr:col>0</xdr:col>
      <xdr:colOff>261057</xdr:colOff>
      <xdr:row>41</xdr:row>
      <xdr:rowOff>21166</xdr:rowOff>
    </xdr:from>
    <xdr:to>
      <xdr:col>3</xdr:col>
      <xdr:colOff>1072446</xdr:colOff>
      <xdr:row>53</xdr:row>
      <xdr:rowOff>105833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2396F1-E34A-A638-3259-6D492D19D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90DB-8AEC-4CDD-AD80-56BBC23F8159}">
  <dimension ref="A10:H66"/>
  <sheetViews>
    <sheetView showGridLines="0" tabSelected="1" zoomScale="90" zoomScaleNormal="90" workbookViewId="0">
      <selection activeCell="D14" sqref="D14"/>
    </sheetView>
  </sheetViews>
  <sheetFormatPr defaultColWidth="0" defaultRowHeight="13" x14ac:dyDescent="0.3"/>
  <cols>
    <col min="1" max="1" width="3.3828125" customWidth="1"/>
    <col min="2" max="2" width="39.69140625" customWidth="1"/>
    <col min="3" max="3" width="29.23046875" customWidth="1"/>
    <col min="4" max="4" width="13.23046875" customWidth="1"/>
    <col min="5" max="5" width="4" customWidth="1"/>
    <col min="6" max="6" width="5.15234375" customWidth="1"/>
    <col min="7" max="7" width="3.69140625" customWidth="1"/>
    <col min="8" max="8" width="4.765625" customWidth="1"/>
    <col min="9" max="11" width="9.23046875" hidden="1" customWidth="1"/>
    <col min="12" max="16384" width="9.23046875" hidden="1"/>
  </cols>
  <sheetData>
    <row r="10" spans="2:4" ht="13.5" thickBot="1" x14ac:dyDescent="0.35"/>
    <row r="11" spans="2:4" ht="21.5" customHeight="1" thickBot="1" x14ac:dyDescent="0.35">
      <c r="B11" s="43" t="s">
        <v>16</v>
      </c>
      <c r="C11" s="44"/>
      <c r="D11" s="45"/>
    </row>
    <row r="12" spans="2:4" ht="17.5" customHeight="1" x14ac:dyDescent="0.3">
      <c r="B12" s="46" t="s">
        <v>13</v>
      </c>
      <c r="C12" s="47"/>
      <c r="D12" s="12">
        <v>2000</v>
      </c>
    </row>
    <row r="13" spans="2:4" ht="17" customHeight="1" x14ac:dyDescent="0.3">
      <c r="B13" s="48" t="s">
        <v>12</v>
      </c>
      <c r="C13" s="49"/>
      <c r="D13" s="13">
        <v>6.0000000000000001E-3</v>
      </c>
    </row>
    <row r="14" spans="2:4" ht="18" customHeight="1" thickBot="1" x14ac:dyDescent="0.35">
      <c r="B14" s="50" t="s">
        <v>14</v>
      </c>
      <c r="C14" s="51"/>
      <c r="D14" s="14">
        <f>D12*30%</f>
        <v>600</v>
      </c>
    </row>
    <row r="15" spans="2:4" ht="17" customHeight="1" thickBot="1" x14ac:dyDescent="0.35"/>
    <row r="16" spans="2:4" ht="25" customHeight="1" x14ac:dyDescent="0.3">
      <c r="B16" s="58" t="s">
        <v>4</v>
      </c>
      <c r="C16" s="59"/>
      <c r="D16" s="60"/>
    </row>
    <row r="17" spans="1:4" ht="22.5" customHeight="1" x14ac:dyDescent="0.3">
      <c r="B17" s="61" t="s">
        <v>0</v>
      </c>
      <c r="C17" s="62"/>
      <c r="D17" s="15">
        <v>200</v>
      </c>
    </row>
    <row r="18" spans="1:4" ht="21" customHeight="1" x14ac:dyDescent="0.3">
      <c r="B18" s="52" t="s">
        <v>15</v>
      </c>
      <c r="C18" s="53"/>
      <c r="D18" s="16">
        <v>5</v>
      </c>
    </row>
    <row r="19" spans="1:4" ht="22" customHeight="1" x14ac:dyDescent="0.3">
      <c r="B19" s="52" t="s">
        <v>1</v>
      </c>
      <c r="C19" s="53"/>
      <c r="D19" s="17">
        <v>1.0789999999999999E-2</v>
      </c>
    </row>
    <row r="20" spans="1:4" ht="20.5" customHeight="1" x14ac:dyDescent="0.3">
      <c r="B20" s="54" t="s">
        <v>2</v>
      </c>
      <c r="C20" s="55"/>
      <c r="D20" s="18">
        <f>FV(Taxa_Mensal,Qtd_Anos*12,Aporte*-1)</f>
        <v>16755.382799697527</v>
      </c>
    </row>
    <row r="21" spans="1:4" ht="21.5" customHeight="1" thickBot="1" x14ac:dyDescent="0.35">
      <c r="B21" s="56" t="s">
        <v>3</v>
      </c>
      <c r="C21" s="57"/>
      <c r="D21" s="19">
        <f>Patrimonio*Rendimento_Carteira</f>
        <v>100.53229679818516</v>
      </c>
    </row>
    <row r="22" spans="1:4" ht="13.5" thickBot="1" x14ac:dyDescent="0.35"/>
    <row r="23" spans="1:4" ht="22.5" customHeight="1" x14ac:dyDescent="0.3">
      <c r="B23" s="34" t="s">
        <v>10</v>
      </c>
      <c r="C23" s="33"/>
      <c r="D23" s="35" t="s">
        <v>11</v>
      </c>
    </row>
    <row r="24" spans="1:4" ht="20" customHeight="1" x14ac:dyDescent="0.3">
      <c r="A24" s="1">
        <v>2</v>
      </c>
      <c r="B24" s="9" t="s">
        <v>5</v>
      </c>
      <c r="C24" s="3">
        <f>FV($D$19,$A24*12,$D$17*-1)</f>
        <v>5445.5254595290435</v>
      </c>
      <c r="D24" s="4">
        <f>C24*Rendimento_Carteira</f>
        <v>32.673152757174265</v>
      </c>
    </row>
    <row r="25" spans="1:4" ht="20" customHeight="1" x14ac:dyDescent="0.3">
      <c r="A25" s="1">
        <v>5</v>
      </c>
      <c r="B25" s="10" t="s">
        <v>6</v>
      </c>
      <c r="C25" s="5">
        <f>FV($D$19,$A25*12,$D$17*-1)</f>
        <v>16755.382799697527</v>
      </c>
      <c r="D25" s="6">
        <f>C25*Rendimento_Carteira</f>
        <v>100.53229679818516</v>
      </c>
    </row>
    <row r="26" spans="1:4" ht="20" customHeight="1" x14ac:dyDescent="0.3">
      <c r="A26" s="1">
        <v>10</v>
      </c>
      <c r="B26" s="10" t="s">
        <v>7</v>
      </c>
      <c r="C26" s="5">
        <f>FV($D$19,$A26*12,$D$17*-1)</f>
        <v>48656.842506034438</v>
      </c>
      <c r="D26" s="6">
        <f>C26*Rendimento_Carteira</f>
        <v>291.94105503620665</v>
      </c>
    </row>
    <row r="27" spans="1:4" ht="20" customHeight="1" x14ac:dyDescent="0.3">
      <c r="A27" s="1">
        <v>20</v>
      </c>
      <c r="B27" s="10" t="s">
        <v>8</v>
      </c>
      <c r="C27" s="5">
        <f>FV($D$19,$A27*12,$D$17*-1)</f>
        <v>225039.68001941612</v>
      </c>
      <c r="D27" s="6">
        <f>C27*Rendimento_Carteira</f>
        <v>1350.2380801164968</v>
      </c>
    </row>
    <row r="28" spans="1:4" ht="20" customHeight="1" thickBot="1" x14ac:dyDescent="0.35">
      <c r="A28" s="1">
        <v>30</v>
      </c>
      <c r="B28" s="11" t="s">
        <v>9</v>
      </c>
      <c r="C28" s="7">
        <f>FV($D$19,$A28*12,$D$17*-1)</f>
        <v>864433.93100094295</v>
      </c>
      <c r="D28" s="8">
        <f>C28*Rendimento_Carteira</f>
        <v>5186.6035860056581</v>
      </c>
    </row>
    <row r="31" spans="1:4" ht="16" customHeight="1" x14ac:dyDescent="0.3">
      <c r="B31" s="37" t="s">
        <v>17</v>
      </c>
      <c r="C31" s="38" t="s">
        <v>31</v>
      </c>
      <c r="D31" s="36"/>
    </row>
    <row r="32" spans="1:4" x14ac:dyDescent="0.3">
      <c r="B32" s="20" t="s">
        <v>18</v>
      </c>
      <c r="C32" s="21">
        <f>Aporte</f>
        <v>200</v>
      </c>
      <c r="D32" s="20"/>
    </row>
    <row r="34" spans="2:4" x14ac:dyDescent="0.3">
      <c r="B34" s="24" t="s">
        <v>19</v>
      </c>
      <c r="C34" s="24" t="s">
        <v>20</v>
      </c>
      <c r="D34" s="24" t="s">
        <v>21</v>
      </c>
    </row>
    <row r="35" spans="2:4" x14ac:dyDescent="0.3">
      <c r="B35" s="2" t="s">
        <v>22</v>
      </c>
      <c r="C35" s="22">
        <f>VLOOKUP($C$31&amp;"-"&amp;B35,'Tabela de Apoio'!$A:$D,4,0)</f>
        <v>0.32</v>
      </c>
      <c r="D35" s="23">
        <f>C35*$C$32</f>
        <v>64</v>
      </c>
    </row>
    <row r="36" spans="2:4" x14ac:dyDescent="0.3">
      <c r="B36" s="2" t="s">
        <v>23</v>
      </c>
      <c r="C36" s="22">
        <f>VLOOKUP($C$31&amp;"-"&amp;B36,'Tabela de Apoio'!$A:$D,4,0)</f>
        <v>0.35</v>
      </c>
      <c r="D36" s="23">
        <f t="shared" ref="D36:D40" si="0">C36*$C$32</f>
        <v>70</v>
      </c>
    </row>
    <row r="37" spans="2:4" x14ac:dyDescent="0.3">
      <c r="B37" s="2" t="s">
        <v>24</v>
      </c>
      <c r="C37" s="22">
        <f>VLOOKUP($C$31&amp;"-"&amp;B37,'Tabela de Apoio'!$A:$D,4,0)</f>
        <v>0.08</v>
      </c>
      <c r="D37" s="23">
        <f t="shared" si="0"/>
        <v>16</v>
      </c>
    </row>
    <row r="38" spans="2:4" x14ac:dyDescent="0.3">
      <c r="B38" s="2" t="s">
        <v>25</v>
      </c>
      <c r="C38" s="22">
        <f>VLOOKUP($C$31&amp;"-"&amp;B38,'Tabela de Apoio'!$A:$D,4,0)</f>
        <v>0.05</v>
      </c>
      <c r="D38" s="23">
        <f t="shared" si="0"/>
        <v>10</v>
      </c>
    </row>
    <row r="39" spans="2:4" x14ac:dyDescent="0.3">
      <c r="B39" s="2" t="s">
        <v>26</v>
      </c>
      <c r="C39" s="22">
        <f>VLOOKUP($C$31&amp;"-"&amp;B39,'Tabela de Apoio'!$A:$D,4,0)</f>
        <v>0.1</v>
      </c>
      <c r="D39" s="23">
        <f t="shared" si="0"/>
        <v>20</v>
      </c>
    </row>
    <row r="40" spans="2:4" x14ac:dyDescent="0.3">
      <c r="B40" s="2" t="s">
        <v>27</v>
      </c>
      <c r="C40" s="22">
        <f>VLOOKUP($C$31&amp;"-"&amp;B40,'Tabela de Apoio'!$A:$D,4,0)</f>
        <v>0.1</v>
      </c>
      <c r="D40" s="23">
        <f t="shared" si="0"/>
        <v>20</v>
      </c>
    </row>
    <row r="41" spans="2:4" x14ac:dyDescent="0.3">
      <c r="B41" s="25"/>
      <c r="C41" s="25"/>
      <c r="D41" s="26">
        <f>SUM(D35:D40)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</sheetData>
  <mergeCells count="10">
    <mergeCell ref="B19:C19"/>
    <mergeCell ref="B20:C20"/>
    <mergeCell ref="B21:C21"/>
    <mergeCell ref="B16:D16"/>
    <mergeCell ref="B17:C17"/>
    <mergeCell ref="B11:D11"/>
    <mergeCell ref="B12:C12"/>
    <mergeCell ref="B13:C13"/>
    <mergeCell ref="B14:C14"/>
    <mergeCell ref="B18:C18"/>
  </mergeCells>
  <dataValidations count="1">
    <dataValidation type="list" allowBlank="1" showInputMessage="1" showErrorMessage="1" sqref="C31" xr:uid="{E21E8C5C-FD0A-4BFE-81AD-99BD80DF5BC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4F84-F33E-4E2A-BAFC-537159AC547E}">
  <dimension ref="A2:H20"/>
  <sheetViews>
    <sheetView workbookViewId="0">
      <selection activeCell="I16" sqref="I16"/>
    </sheetView>
  </sheetViews>
  <sheetFormatPr defaultRowHeight="13" x14ac:dyDescent="0.3"/>
  <cols>
    <col min="1" max="1" width="25.69140625" customWidth="1"/>
    <col min="2" max="2" width="10.07421875" customWidth="1"/>
    <col min="3" max="3" width="15.69140625" customWidth="1"/>
    <col min="7" max="7" width="17.15234375" customWidth="1"/>
    <col min="8" max="8" width="9.3828125" bestFit="1" customWidth="1"/>
  </cols>
  <sheetData>
    <row r="2" spans="1:8" x14ac:dyDescent="0.3">
      <c r="A2" s="39" t="s">
        <v>30</v>
      </c>
      <c r="B2" s="39" t="s">
        <v>17</v>
      </c>
      <c r="C2" s="39" t="s">
        <v>19</v>
      </c>
      <c r="D2" s="40" t="s">
        <v>29</v>
      </c>
      <c r="H2" s="2" t="s">
        <v>29</v>
      </c>
    </row>
    <row r="3" spans="1:8" x14ac:dyDescent="0.3">
      <c r="A3" s="27" t="str">
        <f>B3&amp;"-"&amp;C3</f>
        <v>Conservador-PAPEL</v>
      </c>
      <c r="B3" s="27" t="s">
        <v>28</v>
      </c>
      <c r="C3" s="28" t="s">
        <v>22</v>
      </c>
      <c r="D3" s="29">
        <v>0.3</v>
      </c>
      <c r="G3" s="41" t="s">
        <v>33</v>
      </c>
      <c r="H3" s="42">
        <f>VLOOKUP(G3,$A:$D,4,0)</f>
        <v>0.35</v>
      </c>
    </row>
    <row r="4" spans="1:8" x14ac:dyDescent="0.3">
      <c r="A4" s="27" t="str">
        <f t="shared" ref="A4:A20" si="0">B4&amp;"-"&amp;C4</f>
        <v>Conservador-TIJOLO</v>
      </c>
      <c r="B4" s="27" t="s">
        <v>28</v>
      </c>
      <c r="C4" s="28" t="s">
        <v>23</v>
      </c>
      <c r="D4" s="29">
        <v>0.5</v>
      </c>
    </row>
    <row r="5" spans="1:8" x14ac:dyDescent="0.3">
      <c r="A5" s="27" t="str">
        <f t="shared" si="0"/>
        <v>Conservador-HÍBRIDOS</v>
      </c>
      <c r="B5" s="27" t="s">
        <v>28</v>
      </c>
      <c r="C5" s="28" t="s">
        <v>24</v>
      </c>
      <c r="D5" s="29">
        <v>0.1</v>
      </c>
    </row>
    <row r="6" spans="1:8" x14ac:dyDescent="0.3">
      <c r="A6" s="27" t="str">
        <f t="shared" si="0"/>
        <v>Conservador-FOFs</v>
      </c>
      <c r="B6" s="27" t="s">
        <v>28</v>
      </c>
      <c r="C6" s="28" t="s">
        <v>25</v>
      </c>
      <c r="D6" s="29">
        <v>0.1</v>
      </c>
    </row>
    <row r="7" spans="1:8" x14ac:dyDescent="0.3">
      <c r="A7" s="27" t="str">
        <f t="shared" si="0"/>
        <v>Conservador-DESENVOLVIMENTO</v>
      </c>
      <c r="B7" s="27" t="s">
        <v>28</v>
      </c>
      <c r="C7" s="28" t="s">
        <v>26</v>
      </c>
      <c r="D7" s="29">
        <v>0</v>
      </c>
    </row>
    <row r="8" spans="1:8" ht="13.5" thickBot="1" x14ac:dyDescent="0.35">
      <c r="A8" s="30" t="str">
        <f t="shared" si="0"/>
        <v>Conservador-HOTELÁRIAS</v>
      </c>
      <c r="B8" s="30" t="s">
        <v>28</v>
      </c>
      <c r="C8" s="31" t="s">
        <v>27</v>
      </c>
      <c r="D8" s="32">
        <v>0</v>
      </c>
    </row>
    <row r="9" spans="1:8" x14ac:dyDescent="0.3">
      <c r="A9" s="27" t="str">
        <f t="shared" si="0"/>
        <v>Moderado-PAPEL</v>
      </c>
      <c r="B9" s="27" t="s">
        <v>31</v>
      </c>
      <c r="C9" s="28" t="s">
        <v>22</v>
      </c>
      <c r="D9" s="29">
        <v>0.32</v>
      </c>
    </row>
    <row r="10" spans="1:8" x14ac:dyDescent="0.3">
      <c r="A10" s="27" t="str">
        <f t="shared" si="0"/>
        <v>Moderado-TIJOLO</v>
      </c>
      <c r="B10" s="27" t="s">
        <v>31</v>
      </c>
      <c r="C10" s="28" t="s">
        <v>23</v>
      </c>
      <c r="D10" s="29">
        <v>0.35</v>
      </c>
    </row>
    <row r="11" spans="1:8" x14ac:dyDescent="0.3">
      <c r="A11" s="27" t="str">
        <f t="shared" si="0"/>
        <v>Moderado-HÍBRIDOS</v>
      </c>
      <c r="B11" s="27" t="s">
        <v>31</v>
      </c>
      <c r="C11" s="28" t="s">
        <v>24</v>
      </c>
      <c r="D11" s="29">
        <v>0.08</v>
      </c>
    </row>
    <row r="12" spans="1:8" x14ac:dyDescent="0.3">
      <c r="A12" s="27" t="str">
        <f t="shared" si="0"/>
        <v>Moderado-FOFs</v>
      </c>
      <c r="B12" s="27" t="s">
        <v>31</v>
      </c>
      <c r="C12" s="28" t="s">
        <v>25</v>
      </c>
      <c r="D12" s="29">
        <v>0.05</v>
      </c>
    </row>
    <row r="13" spans="1:8" x14ac:dyDescent="0.3">
      <c r="A13" s="27" t="str">
        <f t="shared" si="0"/>
        <v>Moderado-DESENVOLVIMENTO</v>
      </c>
      <c r="B13" s="27" t="s">
        <v>31</v>
      </c>
      <c r="C13" s="28" t="s">
        <v>26</v>
      </c>
      <c r="D13" s="29">
        <v>0.1</v>
      </c>
    </row>
    <row r="14" spans="1:8" ht="13.5" thickBot="1" x14ac:dyDescent="0.35">
      <c r="A14" s="30" t="str">
        <f t="shared" si="0"/>
        <v>Moderado-HOTELÁRIAS</v>
      </c>
      <c r="B14" s="30" t="s">
        <v>31</v>
      </c>
      <c r="C14" s="31" t="s">
        <v>27</v>
      </c>
      <c r="D14" s="32">
        <v>0.1</v>
      </c>
    </row>
    <row r="15" spans="1:8" x14ac:dyDescent="0.3">
      <c r="A15" t="str">
        <f t="shared" si="0"/>
        <v>Agressivo-PAPEL</v>
      </c>
      <c r="B15" t="s">
        <v>32</v>
      </c>
      <c r="C15" s="2" t="s">
        <v>22</v>
      </c>
      <c r="D15" s="22">
        <v>0.5</v>
      </c>
    </row>
    <row r="16" spans="1:8" x14ac:dyDescent="0.3">
      <c r="A16" t="str">
        <f t="shared" si="0"/>
        <v>Agressivo-TIJOLO</v>
      </c>
      <c r="B16" t="s">
        <v>32</v>
      </c>
      <c r="C16" s="2" t="s">
        <v>23</v>
      </c>
      <c r="D16" s="22">
        <v>0.1</v>
      </c>
    </row>
    <row r="17" spans="1:4" x14ac:dyDescent="0.3">
      <c r="A17" t="str">
        <f t="shared" si="0"/>
        <v>Agressivo-HÍBRIDOS</v>
      </c>
      <c r="B17" t="s">
        <v>32</v>
      </c>
      <c r="C17" s="2" t="s">
        <v>24</v>
      </c>
      <c r="D17" s="22">
        <v>0.05</v>
      </c>
    </row>
    <row r="18" spans="1:4" x14ac:dyDescent="0.3">
      <c r="A18" t="str">
        <f t="shared" si="0"/>
        <v>Agressivo-FOFs</v>
      </c>
      <c r="B18" t="s">
        <v>32</v>
      </c>
      <c r="C18" s="2" t="s">
        <v>25</v>
      </c>
      <c r="D18" s="22">
        <v>0.05</v>
      </c>
    </row>
    <row r="19" spans="1:4" x14ac:dyDescent="0.3">
      <c r="A19" t="str">
        <f t="shared" si="0"/>
        <v>Agressivo-DESENVOLVIMENTO</v>
      </c>
      <c r="B19" t="s">
        <v>32</v>
      </c>
      <c r="C19" s="2" t="s">
        <v>26</v>
      </c>
      <c r="D19" s="22">
        <v>0.2</v>
      </c>
    </row>
    <row r="20" spans="1:4" x14ac:dyDescent="0.3">
      <c r="A20" t="str">
        <f t="shared" si="0"/>
        <v>Agressivo-HOTELÁRIAS</v>
      </c>
      <c r="B20" t="s">
        <v>32</v>
      </c>
      <c r="C20" s="2" t="s">
        <v>27</v>
      </c>
      <c r="D20" s="22">
        <v>0.1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3fed9c9-9e02-402c-91c6-79672c367b2e}" enabled="1" method="Standard" siteId="{ccd25372-eb59-436a-ad74-78a49d784c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Controle de Investimentos</vt:lpstr>
      <vt:lpstr>Tabela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>Banco Bradesco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DE SOUZA PARAISO</dc:creator>
  <cp:lastModifiedBy>LAURA DE SOUZA PARAISO</cp:lastModifiedBy>
  <dcterms:created xsi:type="dcterms:W3CDTF">2026-01-29T16:23:38Z</dcterms:created>
  <dcterms:modified xsi:type="dcterms:W3CDTF">2026-02-05T13:28:10Z</dcterms:modified>
</cp:coreProperties>
</file>